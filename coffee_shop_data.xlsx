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 LAB\Desktop\Coffee Shop Capstone\"/>
    </mc:Choice>
  </mc:AlternateContent>
  <xr:revisionPtr revIDLastSave="0" documentId="13_ncr:1_{1F1B85C2-FF6E-4401-A705-CDAA17E7DC9D}" xr6:coauthVersionLast="47" xr6:coauthVersionMax="47" xr10:uidLastSave="{00000000-0000-0000-0000-000000000000}"/>
  <bookViews>
    <workbookView xWindow="-120" yWindow="-120" windowWidth="29040" windowHeight="15720" activeTab="1" xr2:uid="{261FD2FD-C538-4F22-A6F1-A456B80EFD9C}"/>
  </bookViews>
  <sheets>
    <sheet name="inventory" sheetId="6" r:id="rId1"/>
    <sheet name="sales" sheetId="5" r:id="rId2"/>
    <sheet name="customers" sheetId="4" r:id="rId3"/>
  </sheets>
  <definedNames>
    <definedName name="ExternalData_2" localSheetId="2" hidden="1">'customers'!$A$1:$F$14</definedName>
    <definedName name="ExternalData_3" localSheetId="1" hidden="1">sales!$A$1:$I$31</definedName>
    <definedName name="ExternalData_4" localSheetId="0" hidden="1">inventory!$A$1:$I$12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3F0E68-A75B-464B-A087-218E1C2B5419}" keepAlive="1" name="Query - customers" description="Connection to the 'customers' query in the workbook." type="5" refreshedVersion="7" background="1" saveData="1">
    <dbPr connection="Provider=Microsoft.Mashup.OleDb.1;Data Source=$Workbook$;Location=customers;Extended Properties=&quot;&quot;" command="SELECT * FROM [customers]"/>
  </connection>
  <connection id="2" xr16:uid="{54EAA5A9-5C17-47F5-8DAF-AAEC64E5CD70}" keepAlive="1" name="Query - inventory" description="Connection to the 'inventory' query in the workbook." type="5" refreshedVersion="7" background="1" saveData="1">
    <dbPr connection="Provider=Microsoft.Mashup.OleDb.1;Data Source=$Workbook$;Location=inventory;Extended Properties=&quot;&quot;" command="SELECT * FROM [inventory]"/>
  </connection>
  <connection id="3" xr16:uid="{CBDE145D-D7CB-4E9E-BCA0-394C39072982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4" xr16:uid="{933702FA-AE97-4543-BB7F-3BCE21544DCE}" keepAlive="1" name="Query - sales (2)" description="Connection to the 'sales (2)' query in the workbook." type="5" refreshedVersion="7" background="1" saveData="1">
    <dbPr connection="Provider=Microsoft.Mashup.OleDb.1;Data Source=$Workbook$;Location=&quot;sales (2)&quot;;Extended Properties=&quot;&quot;" command="SELECT * FROM [sales (2)]"/>
  </connection>
  <connection id="5" xr16:uid="{92FDD645-2308-4E3D-8613-D010FE1D6D74}" keepAlive="1" name="Query - sales (3)" description="Connection to the 'sales (3)' query in the workbook." type="5" refreshedVersion="7" background="1" saveData="1">
    <dbPr connection="Provider=Microsoft.Mashup.OleDb.1;Data Source=$Workbook$;Location=&quot;sales (3)&quot;;Extended Properties=&quot;&quot;" command="SELECT * FROM [sales (3)]"/>
  </connection>
</connections>
</file>

<file path=xl/sharedStrings.xml><?xml version="1.0" encoding="utf-8"?>
<sst xmlns="http://schemas.openxmlformats.org/spreadsheetml/2006/main" count="293" uniqueCount="138">
  <si>
    <t>order_id</t>
  </si>
  <si>
    <t>order_date</t>
  </si>
  <si>
    <t>order_time</t>
  </si>
  <si>
    <t>customer_id</t>
  </si>
  <si>
    <t>product</t>
  </si>
  <si>
    <t>category</t>
  </si>
  <si>
    <t>quantity</t>
  </si>
  <si>
    <t>unit_price</t>
  </si>
  <si>
    <t>cost_per_unit</t>
  </si>
  <si>
    <t>C001</t>
  </si>
  <si>
    <t>Cappuccino</t>
  </si>
  <si>
    <t>Coffee</t>
  </si>
  <si>
    <t>C002</t>
  </si>
  <si>
    <t>Latte</t>
  </si>
  <si>
    <t>C003</t>
  </si>
  <si>
    <t>Blueberry Muffin</t>
  </si>
  <si>
    <t>Bakery</t>
  </si>
  <si>
    <t>Americano</t>
  </si>
  <si>
    <t>C004</t>
  </si>
  <si>
    <t>Masala Chai</t>
  </si>
  <si>
    <t>Tea</t>
  </si>
  <si>
    <t>C005</t>
  </si>
  <si>
    <t>Chocolate Brownie</t>
  </si>
  <si>
    <t>C006</t>
  </si>
  <si>
    <t>Espresso</t>
  </si>
  <si>
    <t>C007</t>
  </si>
  <si>
    <t>Cold Brew</t>
  </si>
  <si>
    <t>Cold Coffee</t>
  </si>
  <si>
    <t>C008</t>
  </si>
  <si>
    <t>Grilled Sandwich</t>
  </si>
  <si>
    <t>Food</t>
  </si>
  <si>
    <t>C009</t>
  </si>
  <si>
    <t>C010</t>
  </si>
  <si>
    <t>Chicken Wrap</t>
  </si>
  <si>
    <t>C011</t>
  </si>
  <si>
    <t>C012</t>
  </si>
  <si>
    <t>Column1</t>
  </si>
  <si>
    <t>Column2</t>
  </si>
  <si>
    <t>Column3</t>
  </si>
  <si>
    <t>Column4</t>
  </si>
  <si>
    <t>Column5</t>
  </si>
  <si>
    <t>Column6</t>
  </si>
  <si>
    <t>customer_name</t>
  </si>
  <si>
    <t>age</t>
  </si>
  <si>
    <t>city</t>
  </si>
  <si>
    <t>signup_date</t>
  </si>
  <si>
    <t>loyalty_tier</t>
  </si>
  <si>
    <t>Aarav Menon</t>
  </si>
  <si>
    <t>24</t>
  </si>
  <si>
    <t>Kochi</t>
  </si>
  <si>
    <t>2024-11-01</t>
  </si>
  <si>
    <t>Gold</t>
  </si>
  <si>
    <t>Diya Sharma</t>
  </si>
  <si>
    <t>29</t>
  </si>
  <si>
    <t>2024-12-10</t>
  </si>
  <si>
    <t>Silver</t>
  </si>
  <si>
    <t>Rahul Nair</t>
  </si>
  <si>
    <t>22</t>
  </si>
  <si>
    <t>Thrissur</t>
  </si>
  <si>
    <t>2024-12-15</t>
  </si>
  <si>
    <t>Bronze</t>
  </si>
  <si>
    <t>Ananya Thomas</t>
  </si>
  <si>
    <t>31</t>
  </si>
  <si>
    <t>2024-10-20</t>
  </si>
  <si>
    <t>Arjun Das</t>
  </si>
  <si>
    <t>27</t>
  </si>
  <si>
    <t>Kozhikode</t>
  </si>
  <si>
    <t>2024-11-25</t>
  </si>
  <si>
    <t>Meera Pillai</t>
  </si>
  <si>
    <t>25</t>
  </si>
  <si>
    <t>2025-01-02</t>
  </si>
  <si>
    <t>Kabir Khan</t>
  </si>
  <si>
    <t>34</t>
  </si>
  <si>
    <t>2024-09-15</t>
  </si>
  <si>
    <t>Nisha Joseph</t>
  </si>
  <si>
    <t>28</t>
  </si>
  <si>
    <t>2024-12-01</t>
  </si>
  <si>
    <t>Rohan Iyer</t>
  </si>
  <si>
    <t>23</t>
  </si>
  <si>
    <t>2025-01-04</t>
  </si>
  <si>
    <t>Priya Rao</t>
  </si>
  <si>
    <t>30</t>
  </si>
  <si>
    <t>2024-10-05</t>
  </si>
  <si>
    <t>Unknown</t>
  </si>
  <si>
    <t>26</t>
  </si>
  <si>
    <t>2025-01-05</t>
  </si>
  <si>
    <t>Fathima Ali</t>
  </si>
  <si>
    <t>21</t>
  </si>
  <si>
    <t>2025-01-06</t>
  </si>
  <si>
    <t>Column7</t>
  </si>
  <si>
    <t>Column8</t>
  </si>
  <si>
    <t>Column9</t>
  </si>
  <si>
    <t>product_id</t>
  </si>
  <si>
    <t>product_name</t>
  </si>
  <si>
    <t>stock_on_hand</t>
  </si>
  <si>
    <t>reorder_level</t>
  </si>
  <si>
    <t>monthly_units_sold</t>
  </si>
  <si>
    <t>units_wasted</t>
  </si>
  <si>
    <t>supplier</t>
  </si>
  <si>
    <t>P001</t>
  </si>
  <si>
    <t>80</t>
  </si>
  <si>
    <t>20</t>
  </si>
  <si>
    <t>45</t>
  </si>
  <si>
    <t>2</t>
  </si>
  <si>
    <t>65</t>
  </si>
  <si>
    <t>Bean Supply Co</t>
  </si>
  <si>
    <t>P002</t>
  </si>
  <si>
    <t>15</t>
  </si>
  <si>
    <t>55</t>
  </si>
  <si>
    <t>1</t>
  </si>
  <si>
    <t>70</t>
  </si>
  <si>
    <t>P003</t>
  </si>
  <si>
    <t>100</t>
  </si>
  <si>
    <t>0</t>
  </si>
  <si>
    <t>35</t>
  </si>
  <si>
    <t>P004</t>
  </si>
  <si>
    <t>90</t>
  </si>
  <si>
    <t>Tea Traders</t>
  </si>
  <si>
    <t>P005</t>
  </si>
  <si>
    <t>60</t>
  </si>
  <si>
    <t>8</t>
  </si>
  <si>
    <t>Fresh Bake Ltd</t>
  </si>
  <si>
    <t>P006</t>
  </si>
  <si>
    <t>50</t>
  </si>
  <si>
    <t>6</t>
  </si>
  <si>
    <t>P007</t>
  </si>
  <si>
    <t>12</t>
  </si>
  <si>
    <t>40</t>
  </si>
  <si>
    <t>P008</t>
  </si>
  <si>
    <t>10</t>
  </si>
  <si>
    <t>3</t>
  </si>
  <si>
    <t>Daily Foods</t>
  </si>
  <si>
    <t>P009</t>
  </si>
  <si>
    <t>120</t>
  </si>
  <si>
    <t>P010</t>
  </si>
  <si>
    <t>18</t>
  </si>
  <si>
    <t>Revenue</t>
  </si>
  <si>
    <t>Gross_Profit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</si>
</sst>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B27DC10C-1E6D-40E6-A611-156A6E6FF3B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03D3D81-336A-43A8-8803-6BF27F6F5311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order_id" tableColumnId="1"/>
      <queryTableField id="2" name="order_date" tableColumnId="2"/>
      <queryTableField id="3" name="order_time" tableColumnId="3"/>
      <queryTableField id="4" name="customer_id" tableColumnId="4"/>
      <queryTableField id="5" name="product" tableColumnId="5"/>
      <queryTableField id="6" name="category" tableColumnId="6"/>
      <queryTableField id="7" name="quantity" tableColumnId="7"/>
      <queryTableField id="8" name="unit_price" tableColumnId="8"/>
      <queryTableField id="9" name="cost_per_unit" tableColumnId="9"/>
      <queryTableField id="10" dataBound="0" tableColumnId="10"/>
      <queryTableField id="11" dataBound="0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2EA2D0F-FD09-4BEE-AD7E-B84F80B8255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F3A780-F928-4810-9CD7-10F1DCC7A58E}" name="inventory" displayName="inventory" ref="A1:I12" tableType="queryTable" totalsRowShown="0">
  <autoFilter ref="A1:I12" xr:uid="{34F3A780-F928-4810-9CD7-10F1DCC7A58E}"/>
  <tableColumns count="9">
    <tableColumn id="1" xr3:uid="{00DBC8D8-A3F4-4542-A7B0-29D3ACF07A00}" uniqueName="1" name="Column1" queryTableFieldId="1" dataDxfId="10"/>
    <tableColumn id="2" xr3:uid="{614AF414-CCE2-4F5D-9B8B-2B40BB6EFE19}" uniqueName="2" name="Column2" queryTableFieldId="2" dataDxfId="9"/>
    <tableColumn id="3" xr3:uid="{F6F69FBD-0973-4C73-978A-4157CFF89E10}" uniqueName="3" name="Column3" queryTableFieldId="3" dataDxfId="8"/>
    <tableColumn id="4" xr3:uid="{9927F4CE-9607-49FB-A627-302815BD47B9}" uniqueName="4" name="Column4" queryTableFieldId="4" dataDxfId="7"/>
    <tableColumn id="5" xr3:uid="{522C8ECE-B2D6-4899-A334-B6D0AD13E8D5}" uniqueName="5" name="Column5" queryTableFieldId="5" dataDxfId="6"/>
    <tableColumn id="6" xr3:uid="{9F635BDA-B418-4B87-B8A9-245CF8F26BF3}" uniqueName="6" name="Column6" queryTableFieldId="6" dataDxfId="5"/>
    <tableColumn id="7" xr3:uid="{1A78B133-F839-4B21-A932-8B2B3CE6F7DC}" uniqueName="7" name="Column7" queryTableFieldId="7" dataDxfId="4"/>
    <tableColumn id="8" xr3:uid="{A3182780-223B-42F6-B775-E8AFE4FAAAA3}" uniqueName="8" name="Column8" queryTableFieldId="8" dataDxfId="3"/>
    <tableColumn id="9" xr3:uid="{05650FC5-EB91-46FE-A0D8-E979FC26FCDF}" uniqueName="9" name="Column9" queryTableFieldId="9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21F5D6-9200-4B8B-BFE6-E578178FCC1E}" name="Salesdata" displayName="Salesdata" ref="A1:K31" tableType="queryTable" totalsRowShown="0">
  <autoFilter ref="A1:K31" xr:uid="{8221F5D6-9200-4B8B-BFE6-E578178FCC1E}"/>
  <tableColumns count="11">
    <tableColumn id="1" xr3:uid="{FDDE30D3-44DA-4AB4-BAAB-CD59B0558DE7}" uniqueName="1" name="order_id" queryTableFieldId="1"/>
    <tableColumn id="2" xr3:uid="{2FF59E14-D279-48C5-8212-158763F06F1C}" uniqueName="2" name="order_date" queryTableFieldId="2" dataDxfId="15"/>
    <tableColumn id="3" xr3:uid="{E734CBBE-F996-460D-A97A-54E5F10711A8}" uniqueName="3" name="order_time" queryTableFieldId="3" dataDxfId="14"/>
    <tableColumn id="4" xr3:uid="{64198347-8404-4639-9150-2FAB59A314C4}" uniqueName="4" name="customer_id" queryTableFieldId="4" dataDxfId="13"/>
    <tableColumn id="5" xr3:uid="{C810F59C-6B2F-4CDF-8527-4ADF05595EF8}" uniqueName="5" name="product" queryTableFieldId="5" dataDxfId="12"/>
    <tableColumn id="6" xr3:uid="{376810EE-C5AD-4916-829E-6EA454881146}" uniqueName="6" name="category" queryTableFieldId="6" dataDxfId="11"/>
    <tableColumn id="7" xr3:uid="{81154270-6BC3-47D2-99C2-47014C920980}" uniqueName="7" name="quantity" queryTableFieldId="7"/>
    <tableColumn id="8" xr3:uid="{53A93AC4-3CFF-4AC2-9DFE-2EC37CF6C259}" uniqueName="8" name="unit_price" queryTableFieldId="8"/>
    <tableColumn id="9" xr3:uid="{01C2F952-4C43-49AC-8BCA-72B6796417F1}" uniqueName="9" name="cost_per_unit" queryTableFieldId="9"/>
    <tableColumn id="10" xr3:uid="{4256D7B0-ED22-4111-8966-995EC47601F4}" uniqueName="10" name="Revenue" queryTableFieldId="10" dataDxfId="1">
      <calculatedColumnFormula>G2*H2</calculatedColumnFormula>
    </tableColumn>
    <tableColumn id="11" xr3:uid="{72104896-7E5C-4376-B0E7-77A5A4CD9318}" uniqueName="11" name="Gross_Profit" queryTableFieldId="11" dataDxfId="0">
      <calculatedColumnFormula>G2*(H2-I2)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14CAA3-9BF0-4B04-B5FC-841468FB29FE}" name="customers" displayName="customers" ref="A1:F14" tableType="queryTable" totalsRowShown="0">
  <autoFilter ref="A1:F14" xr:uid="{2414CAA3-9BF0-4B04-B5FC-841468FB29FE}"/>
  <tableColumns count="6">
    <tableColumn id="1" xr3:uid="{109DCD07-8E75-4F4E-A899-065D4DD31E75}" uniqueName="1" name="Column1" queryTableFieldId="1" dataDxfId="21"/>
    <tableColumn id="2" xr3:uid="{5C2AF9A2-C75E-4435-B9F9-2954539CEB1A}" uniqueName="2" name="Column2" queryTableFieldId="2" dataDxfId="20"/>
    <tableColumn id="3" xr3:uid="{BFCA8A52-4A8F-493A-8F5C-CF199B04491A}" uniqueName="3" name="Column3" queryTableFieldId="3" dataDxfId="19"/>
    <tableColumn id="4" xr3:uid="{95CF7F10-923D-43F2-B0B5-D29316D538F1}" uniqueName="4" name="Column4" queryTableFieldId="4" dataDxfId="18"/>
    <tableColumn id="5" xr3:uid="{42CEAA28-2AC6-49C6-A451-43BC6DE83A1C}" uniqueName="5" name="Column5" queryTableFieldId="5" dataDxfId="17"/>
    <tableColumn id="6" xr3:uid="{4655A084-8A8E-4C53-8B34-8FA0383EAED8}" uniqueName="6" name="Column6" queryTableFieldId="6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83AB-06BE-4B28-B206-E70F21594DE2}">
  <dimension ref="A1:I12"/>
  <sheetViews>
    <sheetView workbookViewId="0">
      <selection activeCell="F19" sqref="F19"/>
    </sheetView>
  </sheetViews>
  <sheetFormatPr defaultRowHeight="15" x14ac:dyDescent="0.25"/>
  <cols>
    <col min="1" max="1" width="11.140625" bestFit="1" customWidth="1"/>
    <col min="2" max="2" width="18" bestFit="1" customWidth="1"/>
    <col min="3" max="3" width="11.42578125" bestFit="1" customWidth="1"/>
    <col min="4" max="4" width="14.42578125" bestFit="1" customWidth="1"/>
    <col min="5" max="5" width="13.28515625" bestFit="1" customWidth="1"/>
    <col min="6" max="6" width="18.85546875" bestFit="1" customWidth="1"/>
    <col min="7" max="7" width="12.85546875" bestFit="1" customWidth="1"/>
    <col min="8" max="8" width="13.28515625" bestFit="1" customWidth="1"/>
    <col min="9" max="9" width="14.7109375" bestFit="1" customWidth="1"/>
  </cols>
  <sheetData>
    <row r="1" spans="1:9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89</v>
      </c>
      <c r="H1" t="s">
        <v>90</v>
      </c>
      <c r="I1" t="s">
        <v>91</v>
      </c>
    </row>
    <row r="2" spans="1:9" x14ac:dyDescent="0.25">
      <c r="A2" s="3" t="s">
        <v>92</v>
      </c>
      <c r="B2" s="3" t="s">
        <v>93</v>
      </c>
      <c r="C2" s="3" t="s">
        <v>5</v>
      </c>
      <c r="D2" s="3" t="s">
        <v>94</v>
      </c>
      <c r="E2" s="3" t="s">
        <v>95</v>
      </c>
      <c r="F2" s="3" t="s">
        <v>96</v>
      </c>
      <c r="G2" s="3" t="s">
        <v>97</v>
      </c>
      <c r="H2" s="3" t="s">
        <v>8</v>
      </c>
      <c r="I2" s="3" t="s">
        <v>98</v>
      </c>
    </row>
    <row r="3" spans="1:9" x14ac:dyDescent="0.25">
      <c r="A3" s="3" t="s">
        <v>99</v>
      </c>
      <c r="B3" s="3" t="s">
        <v>10</v>
      </c>
      <c r="C3" s="3" t="s">
        <v>11</v>
      </c>
      <c r="D3" s="3" t="s">
        <v>100</v>
      </c>
      <c r="E3" s="3" t="s">
        <v>101</v>
      </c>
      <c r="F3" s="3" t="s">
        <v>102</v>
      </c>
      <c r="G3" s="3" t="s">
        <v>103</v>
      </c>
      <c r="H3" s="3" t="s">
        <v>104</v>
      </c>
      <c r="I3" s="3" t="s">
        <v>105</v>
      </c>
    </row>
    <row r="4" spans="1:9" x14ac:dyDescent="0.25">
      <c r="A4" s="3" t="s">
        <v>106</v>
      </c>
      <c r="B4" s="3" t="s">
        <v>13</v>
      </c>
      <c r="C4" s="3" t="s">
        <v>11</v>
      </c>
      <c r="D4" s="3" t="s">
        <v>107</v>
      </c>
      <c r="E4" s="3" t="s">
        <v>69</v>
      </c>
      <c r="F4" s="3" t="s">
        <v>108</v>
      </c>
      <c r="G4" s="3" t="s">
        <v>109</v>
      </c>
      <c r="H4" s="3" t="s">
        <v>110</v>
      </c>
      <c r="I4" s="3" t="s">
        <v>105</v>
      </c>
    </row>
    <row r="5" spans="1:9" x14ac:dyDescent="0.25">
      <c r="A5" s="3" t="s">
        <v>111</v>
      </c>
      <c r="B5" s="3" t="s">
        <v>17</v>
      </c>
      <c r="C5" s="3" t="s">
        <v>11</v>
      </c>
      <c r="D5" s="3" t="s">
        <v>112</v>
      </c>
      <c r="E5" s="3" t="s">
        <v>101</v>
      </c>
      <c r="F5" s="3" t="s">
        <v>81</v>
      </c>
      <c r="G5" s="3" t="s">
        <v>113</v>
      </c>
      <c r="H5" s="3" t="s">
        <v>114</v>
      </c>
      <c r="I5" s="3" t="s">
        <v>105</v>
      </c>
    </row>
    <row r="6" spans="1:9" x14ac:dyDescent="0.25">
      <c r="A6" s="3" t="s">
        <v>115</v>
      </c>
      <c r="B6" s="3" t="s">
        <v>19</v>
      </c>
      <c r="C6" s="3" t="s">
        <v>20</v>
      </c>
      <c r="D6" s="3" t="s">
        <v>116</v>
      </c>
      <c r="E6" s="3" t="s">
        <v>101</v>
      </c>
      <c r="F6" s="3" t="s">
        <v>114</v>
      </c>
      <c r="G6" s="3" t="s">
        <v>109</v>
      </c>
      <c r="H6" s="3" t="s">
        <v>69</v>
      </c>
      <c r="I6" s="3" t="s">
        <v>117</v>
      </c>
    </row>
    <row r="7" spans="1:9" x14ac:dyDescent="0.25">
      <c r="A7" s="3" t="s">
        <v>118</v>
      </c>
      <c r="B7" s="3" t="s">
        <v>15</v>
      </c>
      <c r="C7" s="3" t="s">
        <v>16</v>
      </c>
      <c r="D7" s="3" t="s">
        <v>119</v>
      </c>
      <c r="E7" s="3" t="s">
        <v>107</v>
      </c>
      <c r="F7" s="3" t="s">
        <v>69</v>
      </c>
      <c r="G7" s="3" t="s">
        <v>120</v>
      </c>
      <c r="H7" s="3" t="s">
        <v>102</v>
      </c>
      <c r="I7" s="3" t="s">
        <v>121</v>
      </c>
    </row>
    <row r="8" spans="1:9" x14ac:dyDescent="0.25">
      <c r="A8" s="3" t="s">
        <v>122</v>
      </c>
      <c r="B8" s="3" t="s">
        <v>22</v>
      </c>
      <c r="C8" s="3" t="s">
        <v>16</v>
      </c>
      <c r="D8" s="3" t="s">
        <v>123</v>
      </c>
      <c r="E8" s="3" t="s">
        <v>107</v>
      </c>
      <c r="F8" s="3" t="s">
        <v>101</v>
      </c>
      <c r="G8" s="3" t="s">
        <v>124</v>
      </c>
      <c r="H8" s="3" t="s">
        <v>123</v>
      </c>
      <c r="I8" s="3" t="s">
        <v>121</v>
      </c>
    </row>
    <row r="9" spans="1:9" x14ac:dyDescent="0.25">
      <c r="A9" s="3" t="s">
        <v>125</v>
      </c>
      <c r="B9" s="3" t="s">
        <v>26</v>
      </c>
      <c r="C9" s="3" t="s">
        <v>27</v>
      </c>
      <c r="D9" s="3" t="s">
        <v>126</v>
      </c>
      <c r="E9" s="3" t="s">
        <v>101</v>
      </c>
      <c r="F9" s="3" t="s">
        <v>127</v>
      </c>
      <c r="G9" s="3" t="s">
        <v>109</v>
      </c>
      <c r="H9" s="3" t="s">
        <v>104</v>
      </c>
      <c r="I9" s="3" t="s">
        <v>105</v>
      </c>
    </row>
    <row r="10" spans="1:9" x14ac:dyDescent="0.25">
      <c r="A10" s="3" t="s">
        <v>128</v>
      </c>
      <c r="B10" s="3" t="s">
        <v>29</v>
      </c>
      <c r="C10" s="3" t="s">
        <v>30</v>
      </c>
      <c r="D10" s="3" t="s">
        <v>114</v>
      </c>
      <c r="E10" s="3" t="s">
        <v>129</v>
      </c>
      <c r="F10" s="3" t="s">
        <v>75</v>
      </c>
      <c r="G10" s="3" t="s">
        <v>130</v>
      </c>
      <c r="H10" s="3" t="s">
        <v>112</v>
      </c>
      <c r="I10" s="3" t="s">
        <v>131</v>
      </c>
    </row>
    <row r="11" spans="1:9" x14ac:dyDescent="0.25">
      <c r="A11" s="3" t="s">
        <v>132</v>
      </c>
      <c r="B11" s="3" t="s">
        <v>33</v>
      </c>
      <c r="C11" s="3" t="s">
        <v>30</v>
      </c>
      <c r="D11" s="3" t="s">
        <v>120</v>
      </c>
      <c r="E11" s="3" t="s">
        <v>107</v>
      </c>
      <c r="F11" s="3" t="s">
        <v>57</v>
      </c>
      <c r="G11" s="3" t="s">
        <v>103</v>
      </c>
      <c r="H11" s="3" t="s">
        <v>133</v>
      </c>
      <c r="I11" s="3" t="s">
        <v>131</v>
      </c>
    </row>
    <row r="12" spans="1:9" x14ac:dyDescent="0.25">
      <c r="A12" s="3" t="s">
        <v>134</v>
      </c>
      <c r="B12" s="3" t="s">
        <v>24</v>
      </c>
      <c r="C12" s="3" t="s">
        <v>11</v>
      </c>
      <c r="D12" s="3" t="s">
        <v>110</v>
      </c>
      <c r="E12" s="3" t="s">
        <v>101</v>
      </c>
      <c r="F12" s="3" t="s">
        <v>135</v>
      </c>
      <c r="G12" s="3" t="s">
        <v>113</v>
      </c>
      <c r="H12" s="3" t="s">
        <v>81</v>
      </c>
      <c r="I12" s="3" t="s">
        <v>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E0B2-3622-4AAC-B49C-029F94E55974}">
  <dimension ref="A1:K31"/>
  <sheetViews>
    <sheetView tabSelected="1" workbookViewId="0">
      <selection sqref="A1:XFD1048576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3.28515625" bestFit="1" customWidth="1"/>
    <col min="4" max="4" width="14.28515625" bestFit="1" customWidth="1"/>
    <col min="5" max="5" width="18" bestFit="1" customWidth="1"/>
    <col min="6" max="6" width="11.42578125" bestFit="1" customWidth="1"/>
    <col min="7" max="7" width="10.7109375" bestFit="1" customWidth="1"/>
    <col min="8" max="8" width="12.28515625" bestFit="1" customWidth="1"/>
    <col min="9" max="10" width="15.5703125" bestFit="1" customWidth="1"/>
    <col min="11" max="11" width="14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136</v>
      </c>
      <c r="K1" t="s">
        <v>137</v>
      </c>
    </row>
    <row r="2" spans="1:11" x14ac:dyDescent="0.25">
      <c r="A2">
        <v>1001</v>
      </c>
      <c r="B2" s="1">
        <v>45662</v>
      </c>
      <c r="C2" s="2">
        <v>0.35416666666666669</v>
      </c>
      <c r="D2" s="3" t="s">
        <v>9</v>
      </c>
      <c r="E2" s="3" t="s">
        <v>10</v>
      </c>
      <c r="F2" s="3" t="s">
        <v>11</v>
      </c>
      <c r="G2">
        <v>2</v>
      </c>
      <c r="H2">
        <v>160</v>
      </c>
      <c r="I2">
        <v>65</v>
      </c>
      <c r="J2">
        <f t="shared" ref="J2:J31" si="0">G2*H2</f>
        <v>320</v>
      </c>
      <c r="K2">
        <f t="shared" ref="K2:K31" si="1">G2*(H2-I2)</f>
        <v>190</v>
      </c>
    </row>
    <row r="3" spans="1:11" x14ac:dyDescent="0.25">
      <c r="A3">
        <v>1002</v>
      </c>
      <c r="B3" s="1">
        <v>45662</v>
      </c>
      <c r="C3" s="2">
        <v>0.38541666666666669</v>
      </c>
      <c r="D3" s="3" t="s">
        <v>12</v>
      </c>
      <c r="E3" s="3" t="s">
        <v>13</v>
      </c>
      <c r="F3" s="3" t="s">
        <v>11</v>
      </c>
      <c r="G3">
        <v>1</v>
      </c>
      <c r="H3">
        <v>180</v>
      </c>
      <c r="I3">
        <v>70</v>
      </c>
      <c r="J3">
        <f t="shared" si="0"/>
        <v>180</v>
      </c>
      <c r="K3">
        <f t="shared" si="1"/>
        <v>110</v>
      </c>
    </row>
    <row r="4" spans="1:11" x14ac:dyDescent="0.25">
      <c r="A4">
        <v>1003</v>
      </c>
      <c r="B4" s="1">
        <v>45662</v>
      </c>
      <c r="C4" s="2">
        <v>0.41666666666666669</v>
      </c>
      <c r="D4" s="3" t="s">
        <v>14</v>
      </c>
      <c r="E4" s="3" t="s">
        <v>15</v>
      </c>
      <c r="F4" s="3" t="s">
        <v>16</v>
      </c>
      <c r="G4">
        <v>2</v>
      </c>
      <c r="H4">
        <v>110</v>
      </c>
      <c r="I4">
        <v>45</v>
      </c>
      <c r="J4">
        <f t="shared" si="0"/>
        <v>220</v>
      </c>
      <c r="K4">
        <f t="shared" si="1"/>
        <v>130</v>
      </c>
    </row>
    <row r="5" spans="1:11" x14ac:dyDescent="0.25">
      <c r="A5">
        <v>1004</v>
      </c>
      <c r="B5" s="1">
        <v>45662</v>
      </c>
      <c r="C5" s="2">
        <v>0.52083333333333337</v>
      </c>
      <c r="D5" s="3" t="s">
        <v>9</v>
      </c>
      <c r="E5" s="3" t="s">
        <v>17</v>
      </c>
      <c r="F5" s="3" t="s">
        <v>11</v>
      </c>
      <c r="G5">
        <v>1</v>
      </c>
      <c r="H5">
        <v>120</v>
      </c>
      <c r="I5">
        <v>35</v>
      </c>
      <c r="J5">
        <f t="shared" si="0"/>
        <v>120</v>
      </c>
      <c r="K5">
        <f t="shared" si="1"/>
        <v>85</v>
      </c>
    </row>
    <row r="6" spans="1:11" x14ac:dyDescent="0.25">
      <c r="A6">
        <v>1005</v>
      </c>
      <c r="B6" s="1">
        <v>45663</v>
      </c>
      <c r="C6" s="2">
        <v>0.33333333333333331</v>
      </c>
      <c r="D6" s="3" t="s">
        <v>18</v>
      </c>
      <c r="E6" s="3" t="s">
        <v>19</v>
      </c>
      <c r="F6" s="3" t="s">
        <v>20</v>
      </c>
      <c r="G6">
        <v>2</v>
      </c>
      <c r="H6">
        <v>80</v>
      </c>
      <c r="I6">
        <v>25</v>
      </c>
      <c r="J6">
        <f t="shared" si="0"/>
        <v>160</v>
      </c>
      <c r="K6">
        <f t="shared" si="1"/>
        <v>110</v>
      </c>
    </row>
    <row r="7" spans="1:11" x14ac:dyDescent="0.25">
      <c r="A7">
        <v>1006</v>
      </c>
      <c r="B7" s="1">
        <v>45663</v>
      </c>
      <c r="C7" s="2">
        <v>0.40625</v>
      </c>
      <c r="D7" s="3" t="s">
        <v>21</v>
      </c>
      <c r="E7" s="3" t="s">
        <v>22</v>
      </c>
      <c r="F7" s="3" t="s">
        <v>16</v>
      </c>
      <c r="G7">
        <v>1</v>
      </c>
      <c r="H7">
        <v>130</v>
      </c>
      <c r="I7">
        <v>50</v>
      </c>
      <c r="J7">
        <f t="shared" si="0"/>
        <v>130</v>
      </c>
      <c r="K7">
        <f t="shared" si="1"/>
        <v>80</v>
      </c>
    </row>
    <row r="8" spans="1:11" x14ac:dyDescent="0.25">
      <c r="A8">
        <v>1007</v>
      </c>
      <c r="B8" s="1">
        <v>45663</v>
      </c>
      <c r="C8" s="2">
        <v>0.58333333333333337</v>
      </c>
      <c r="D8" s="3" t="s">
        <v>12</v>
      </c>
      <c r="E8" s="3" t="s">
        <v>13</v>
      </c>
      <c r="F8" s="3" t="s">
        <v>11</v>
      </c>
      <c r="G8">
        <v>2</v>
      </c>
      <c r="H8">
        <v>180</v>
      </c>
      <c r="I8">
        <v>70</v>
      </c>
      <c r="J8">
        <f t="shared" si="0"/>
        <v>360</v>
      </c>
      <c r="K8">
        <f t="shared" si="1"/>
        <v>220</v>
      </c>
    </row>
    <row r="9" spans="1:11" x14ac:dyDescent="0.25">
      <c r="A9">
        <v>1008</v>
      </c>
      <c r="B9" s="1">
        <v>45664</v>
      </c>
      <c r="C9" s="2">
        <v>0.34375</v>
      </c>
      <c r="D9" s="3" t="s">
        <v>23</v>
      </c>
      <c r="E9" s="3" t="s">
        <v>24</v>
      </c>
      <c r="F9" s="3" t="s">
        <v>11</v>
      </c>
      <c r="G9">
        <v>2</v>
      </c>
      <c r="H9">
        <v>90</v>
      </c>
      <c r="I9">
        <v>30</v>
      </c>
      <c r="J9">
        <f t="shared" si="0"/>
        <v>180</v>
      </c>
      <c r="K9">
        <f t="shared" si="1"/>
        <v>120</v>
      </c>
    </row>
    <row r="10" spans="1:11" x14ac:dyDescent="0.25">
      <c r="A10">
        <v>1009</v>
      </c>
      <c r="B10" s="1">
        <v>45664</v>
      </c>
      <c r="C10" s="2">
        <v>0.4375</v>
      </c>
      <c r="D10" s="3" t="s">
        <v>14</v>
      </c>
      <c r="E10" s="3" t="s">
        <v>15</v>
      </c>
      <c r="F10" s="3" t="s">
        <v>16</v>
      </c>
      <c r="G10">
        <v>1</v>
      </c>
      <c r="H10">
        <v>110</v>
      </c>
      <c r="I10">
        <v>45</v>
      </c>
      <c r="J10">
        <f t="shared" si="0"/>
        <v>110</v>
      </c>
      <c r="K10">
        <f t="shared" si="1"/>
        <v>65</v>
      </c>
    </row>
    <row r="11" spans="1:11" x14ac:dyDescent="0.25">
      <c r="A11">
        <v>1010</v>
      </c>
      <c r="B11" s="1">
        <v>45664</v>
      </c>
      <c r="C11" s="2">
        <v>0.66666666666666663</v>
      </c>
      <c r="D11" s="3" t="s">
        <v>25</v>
      </c>
      <c r="E11" s="3" t="s">
        <v>26</v>
      </c>
      <c r="F11" s="3" t="s">
        <v>27</v>
      </c>
      <c r="G11">
        <v>2</v>
      </c>
      <c r="H11">
        <v>190</v>
      </c>
      <c r="I11">
        <v>65</v>
      </c>
      <c r="J11">
        <f t="shared" si="0"/>
        <v>380</v>
      </c>
      <c r="K11">
        <f t="shared" si="1"/>
        <v>250</v>
      </c>
    </row>
    <row r="12" spans="1:11" x14ac:dyDescent="0.25">
      <c r="A12">
        <v>1011</v>
      </c>
      <c r="B12" s="1">
        <v>45665</v>
      </c>
      <c r="C12" s="2">
        <v>0.375</v>
      </c>
      <c r="D12" s="3" t="s">
        <v>9</v>
      </c>
      <c r="E12" s="3" t="s">
        <v>10</v>
      </c>
      <c r="F12" s="3" t="s">
        <v>11</v>
      </c>
      <c r="G12">
        <v>1</v>
      </c>
      <c r="H12">
        <v>160</v>
      </c>
      <c r="I12">
        <v>65</v>
      </c>
      <c r="J12">
        <f t="shared" si="0"/>
        <v>160</v>
      </c>
      <c r="K12">
        <f t="shared" si="1"/>
        <v>95</v>
      </c>
    </row>
    <row r="13" spans="1:11" x14ac:dyDescent="0.25">
      <c r="A13">
        <v>1012</v>
      </c>
      <c r="B13" s="1">
        <v>45665</v>
      </c>
      <c r="C13" s="2">
        <v>0.47916666666666669</v>
      </c>
      <c r="D13" s="3" t="s">
        <v>28</v>
      </c>
      <c r="E13" s="3" t="s">
        <v>29</v>
      </c>
      <c r="F13" s="3" t="s">
        <v>30</v>
      </c>
      <c r="G13">
        <v>2</v>
      </c>
      <c r="H13">
        <v>220</v>
      </c>
      <c r="I13">
        <v>100</v>
      </c>
      <c r="J13">
        <f t="shared" si="0"/>
        <v>440</v>
      </c>
      <c r="K13">
        <f t="shared" si="1"/>
        <v>240</v>
      </c>
    </row>
    <row r="14" spans="1:11" x14ac:dyDescent="0.25">
      <c r="A14">
        <v>1013</v>
      </c>
      <c r="B14" s="1">
        <v>45665</v>
      </c>
      <c r="C14" s="2">
        <v>0.54166666666666663</v>
      </c>
      <c r="D14" s="3" t="s">
        <v>18</v>
      </c>
      <c r="E14" s="3" t="s">
        <v>19</v>
      </c>
      <c r="F14" s="3" t="s">
        <v>20</v>
      </c>
      <c r="G14">
        <v>1</v>
      </c>
      <c r="H14">
        <v>80</v>
      </c>
      <c r="I14">
        <v>25</v>
      </c>
      <c r="J14">
        <f t="shared" si="0"/>
        <v>80</v>
      </c>
      <c r="K14">
        <f t="shared" si="1"/>
        <v>55</v>
      </c>
    </row>
    <row r="15" spans="1:11" x14ac:dyDescent="0.25">
      <c r="A15">
        <v>1014</v>
      </c>
      <c r="B15" s="1">
        <v>45666</v>
      </c>
      <c r="C15" s="2">
        <v>0.36458333333333331</v>
      </c>
      <c r="D15" s="3" t="s">
        <v>21</v>
      </c>
      <c r="E15" s="3" t="s">
        <v>22</v>
      </c>
      <c r="F15" s="3" t="s">
        <v>16</v>
      </c>
      <c r="G15">
        <v>2</v>
      </c>
      <c r="H15">
        <v>130</v>
      </c>
      <c r="I15">
        <v>50</v>
      </c>
      <c r="J15">
        <f t="shared" si="0"/>
        <v>260</v>
      </c>
      <c r="K15">
        <f t="shared" si="1"/>
        <v>160</v>
      </c>
    </row>
    <row r="16" spans="1:11" x14ac:dyDescent="0.25">
      <c r="A16">
        <v>1015</v>
      </c>
      <c r="B16" s="1">
        <v>45666</v>
      </c>
      <c r="C16" s="2">
        <v>0.42708333333333331</v>
      </c>
      <c r="D16" s="3" t="s">
        <v>12</v>
      </c>
      <c r="E16" s="3" t="s">
        <v>13</v>
      </c>
      <c r="F16" s="3" t="s">
        <v>11</v>
      </c>
      <c r="G16">
        <v>1</v>
      </c>
      <c r="H16">
        <v>180</v>
      </c>
      <c r="I16">
        <v>70</v>
      </c>
      <c r="J16">
        <f t="shared" si="0"/>
        <v>180</v>
      </c>
      <c r="K16">
        <f t="shared" si="1"/>
        <v>110</v>
      </c>
    </row>
    <row r="17" spans="1:11" x14ac:dyDescent="0.25">
      <c r="A17">
        <v>1016</v>
      </c>
      <c r="B17" s="1">
        <v>45666</v>
      </c>
      <c r="C17" s="2">
        <v>0.64583333333333337</v>
      </c>
      <c r="D17" s="3" t="s">
        <v>31</v>
      </c>
      <c r="E17" s="3" t="s">
        <v>17</v>
      </c>
      <c r="F17" s="3" t="s">
        <v>11</v>
      </c>
      <c r="G17">
        <v>2</v>
      </c>
      <c r="H17">
        <v>120</v>
      </c>
      <c r="I17">
        <v>35</v>
      </c>
      <c r="J17">
        <f t="shared" si="0"/>
        <v>240</v>
      </c>
      <c r="K17">
        <f t="shared" si="1"/>
        <v>170</v>
      </c>
    </row>
    <row r="18" spans="1:11" x14ac:dyDescent="0.25">
      <c r="A18">
        <v>1017</v>
      </c>
      <c r="B18" s="1">
        <v>45667</v>
      </c>
      <c r="C18" s="2">
        <v>0.39583333333333331</v>
      </c>
      <c r="D18" s="3" t="s">
        <v>32</v>
      </c>
      <c r="E18" s="3" t="s">
        <v>33</v>
      </c>
      <c r="F18" s="3" t="s">
        <v>30</v>
      </c>
      <c r="G18">
        <v>1</v>
      </c>
      <c r="H18">
        <v>260</v>
      </c>
      <c r="I18">
        <v>120</v>
      </c>
      <c r="J18">
        <f t="shared" si="0"/>
        <v>260</v>
      </c>
      <c r="K18">
        <f t="shared" si="1"/>
        <v>140</v>
      </c>
    </row>
    <row r="19" spans="1:11" x14ac:dyDescent="0.25">
      <c r="A19">
        <v>1018</v>
      </c>
      <c r="B19" s="1">
        <v>45667</v>
      </c>
      <c r="C19" s="2">
        <v>0.5</v>
      </c>
      <c r="D19" s="3" t="s">
        <v>14</v>
      </c>
      <c r="E19" s="3" t="s">
        <v>15</v>
      </c>
      <c r="F19" s="3" t="s">
        <v>16</v>
      </c>
      <c r="G19">
        <v>3</v>
      </c>
      <c r="H19">
        <v>110</v>
      </c>
      <c r="I19">
        <v>45</v>
      </c>
      <c r="J19">
        <f t="shared" si="0"/>
        <v>330</v>
      </c>
      <c r="K19">
        <f t="shared" si="1"/>
        <v>195</v>
      </c>
    </row>
    <row r="20" spans="1:11" x14ac:dyDescent="0.25">
      <c r="A20">
        <v>1019</v>
      </c>
      <c r="B20" s="1">
        <v>45667</v>
      </c>
      <c r="C20" s="2">
        <v>0.70833333333333337</v>
      </c>
      <c r="D20" s="3" t="s">
        <v>23</v>
      </c>
      <c r="E20" s="3" t="s">
        <v>26</v>
      </c>
      <c r="F20" s="3" t="s">
        <v>27</v>
      </c>
      <c r="G20">
        <v>1</v>
      </c>
      <c r="H20">
        <v>190</v>
      </c>
      <c r="I20">
        <v>65</v>
      </c>
      <c r="J20">
        <f t="shared" si="0"/>
        <v>190</v>
      </c>
      <c r="K20">
        <f t="shared" si="1"/>
        <v>125</v>
      </c>
    </row>
    <row r="21" spans="1:11" x14ac:dyDescent="0.25">
      <c r="A21">
        <v>1020</v>
      </c>
      <c r="B21" s="1">
        <v>45668</v>
      </c>
      <c r="C21" s="2">
        <v>0.41666666666666669</v>
      </c>
      <c r="D21" s="3" t="s">
        <v>9</v>
      </c>
      <c r="E21" s="3" t="s">
        <v>10</v>
      </c>
      <c r="F21" s="3" t="s">
        <v>11</v>
      </c>
      <c r="G21">
        <v>1</v>
      </c>
      <c r="H21">
        <v>160</v>
      </c>
      <c r="I21">
        <v>65</v>
      </c>
      <c r="J21">
        <f t="shared" si="0"/>
        <v>160</v>
      </c>
      <c r="K21">
        <f t="shared" si="1"/>
        <v>95</v>
      </c>
    </row>
    <row r="22" spans="1:11" x14ac:dyDescent="0.25">
      <c r="A22">
        <v>1021</v>
      </c>
      <c r="B22" s="1">
        <v>45668</v>
      </c>
      <c r="C22" s="2">
        <v>0.45833333333333331</v>
      </c>
      <c r="D22" s="3" t="s">
        <v>34</v>
      </c>
      <c r="E22" s="3" t="s">
        <v>13</v>
      </c>
      <c r="F22" s="3" t="s">
        <v>11</v>
      </c>
      <c r="G22">
        <v>2</v>
      </c>
      <c r="H22">
        <v>180</v>
      </c>
      <c r="I22">
        <v>70</v>
      </c>
      <c r="J22">
        <f t="shared" si="0"/>
        <v>360</v>
      </c>
      <c r="K22">
        <f t="shared" si="1"/>
        <v>220</v>
      </c>
    </row>
    <row r="23" spans="1:11" x14ac:dyDescent="0.25">
      <c r="A23">
        <v>1022</v>
      </c>
      <c r="B23" s="1">
        <v>45668</v>
      </c>
      <c r="C23" s="2">
        <v>0.5625</v>
      </c>
      <c r="D23" s="3" t="s">
        <v>25</v>
      </c>
      <c r="E23" s="3" t="s">
        <v>26</v>
      </c>
      <c r="F23" s="3" t="s">
        <v>27</v>
      </c>
      <c r="G23">
        <v>1</v>
      </c>
      <c r="H23">
        <v>190</v>
      </c>
      <c r="I23">
        <v>65</v>
      </c>
      <c r="J23">
        <f t="shared" si="0"/>
        <v>190</v>
      </c>
      <c r="K23">
        <f t="shared" si="1"/>
        <v>125</v>
      </c>
    </row>
    <row r="24" spans="1:11" x14ac:dyDescent="0.25">
      <c r="A24">
        <v>1023</v>
      </c>
      <c r="B24" s="1">
        <v>45669</v>
      </c>
      <c r="C24" s="2">
        <v>0.35416666666666669</v>
      </c>
      <c r="D24" s="3" t="s">
        <v>18</v>
      </c>
      <c r="E24" s="3" t="s">
        <v>19</v>
      </c>
      <c r="F24" s="3" t="s">
        <v>20</v>
      </c>
      <c r="G24">
        <v>2</v>
      </c>
      <c r="H24">
        <v>80</v>
      </c>
      <c r="I24">
        <v>25</v>
      </c>
      <c r="J24">
        <f t="shared" si="0"/>
        <v>160</v>
      </c>
      <c r="K24">
        <f t="shared" si="1"/>
        <v>110</v>
      </c>
    </row>
    <row r="25" spans="1:11" x14ac:dyDescent="0.25">
      <c r="A25">
        <v>1024</v>
      </c>
      <c r="B25" s="1">
        <v>45669</v>
      </c>
      <c r="C25" s="2">
        <v>0.44791666666666669</v>
      </c>
      <c r="D25" s="3" t="s">
        <v>35</v>
      </c>
      <c r="E25" s="3" t="s">
        <v>22</v>
      </c>
      <c r="F25" s="3" t="s">
        <v>16</v>
      </c>
      <c r="G25">
        <v>1</v>
      </c>
      <c r="H25">
        <v>130</v>
      </c>
      <c r="I25">
        <v>50</v>
      </c>
      <c r="J25">
        <f t="shared" si="0"/>
        <v>130</v>
      </c>
      <c r="K25">
        <f t="shared" si="1"/>
        <v>80</v>
      </c>
    </row>
    <row r="26" spans="1:11" x14ac:dyDescent="0.25">
      <c r="A26">
        <v>1025</v>
      </c>
      <c r="B26" s="1">
        <v>45669</v>
      </c>
      <c r="C26" s="2">
        <v>0.51041666666666663</v>
      </c>
      <c r="D26" s="3" t="s">
        <v>21</v>
      </c>
      <c r="E26" s="3" t="s">
        <v>29</v>
      </c>
      <c r="F26" s="3" t="s">
        <v>30</v>
      </c>
      <c r="G26">
        <v>1</v>
      </c>
      <c r="H26">
        <v>220</v>
      </c>
      <c r="I26">
        <v>100</v>
      </c>
      <c r="J26">
        <f t="shared" si="0"/>
        <v>220</v>
      </c>
      <c r="K26">
        <f t="shared" si="1"/>
        <v>120</v>
      </c>
    </row>
    <row r="27" spans="1:11" x14ac:dyDescent="0.25">
      <c r="A27">
        <v>1026</v>
      </c>
      <c r="B27" s="1">
        <v>45670</v>
      </c>
      <c r="C27" s="2">
        <v>0.375</v>
      </c>
      <c r="D27" s="3" t="s">
        <v>12</v>
      </c>
      <c r="E27" s="3" t="s">
        <v>13</v>
      </c>
      <c r="F27" s="3" t="s">
        <v>11</v>
      </c>
      <c r="G27">
        <v>1</v>
      </c>
      <c r="H27">
        <v>180</v>
      </c>
      <c r="I27">
        <v>70</v>
      </c>
      <c r="J27">
        <f t="shared" si="0"/>
        <v>180</v>
      </c>
      <c r="K27">
        <f t="shared" si="1"/>
        <v>110</v>
      </c>
    </row>
    <row r="28" spans="1:11" x14ac:dyDescent="0.25">
      <c r="A28">
        <v>1027</v>
      </c>
      <c r="B28" s="1">
        <v>45670</v>
      </c>
      <c r="C28" s="2">
        <v>0.4375</v>
      </c>
      <c r="D28" s="3" t="s">
        <v>28</v>
      </c>
      <c r="E28" s="3" t="s">
        <v>29</v>
      </c>
      <c r="F28" s="3" t="s">
        <v>30</v>
      </c>
      <c r="G28">
        <v>1</v>
      </c>
      <c r="H28">
        <v>220</v>
      </c>
      <c r="I28">
        <v>100</v>
      </c>
      <c r="J28">
        <f t="shared" si="0"/>
        <v>220</v>
      </c>
      <c r="K28">
        <f t="shared" si="1"/>
        <v>120</v>
      </c>
    </row>
    <row r="29" spans="1:11" x14ac:dyDescent="0.25">
      <c r="A29">
        <v>1028</v>
      </c>
      <c r="B29" s="1">
        <v>45670</v>
      </c>
      <c r="C29" s="2">
        <v>0.58333333333333337</v>
      </c>
      <c r="D29" s="3" t="s">
        <v>31</v>
      </c>
      <c r="E29" s="3" t="s">
        <v>17</v>
      </c>
      <c r="F29" s="3" t="s">
        <v>11</v>
      </c>
      <c r="G29">
        <v>1</v>
      </c>
      <c r="H29">
        <v>120</v>
      </c>
      <c r="I29">
        <v>35</v>
      </c>
      <c r="J29">
        <f t="shared" si="0"/>
        <v>120</v>
      </c>
      <c r="K29">
        <f t="shared" si="1"/>
        <v>85</v>
      </c>
    </row>
    <row r="30" spans="1:11" x14ac:dyDescent="0.25">
      <c r="A30">
        <v>1029</v>
      </c>
      <c r="B30" s="1">
        <v>45671</v>
      </c>
      <c r="C30" s="2">
        <v>0.34375</v>
      </c>
      <c r="D30" s="3" t="s">
        <v>9</v>
      </c>
      <c r="E30" s="3" t="s">
        <v>10</v>
      </c>
      <c r="F30" s="3" t="s">
        <v>11</v>
      </c>
      <c r="G30">
        <v>2</v>
      </c>
      <c r="H30">
        <v>160</v>
      </c>
      <c r="I30">
        <v>65</v>
      </c>
      <c r="J30">
        <f t="shared" si="0"/>
        <v>320</v>
      </c>
      <c r="K30">
        <f t="shared" si="1"/>
        <v>190</v>
      </c>
    </row>
    <row r="31" spans="1:11" x14ac:dyDescent="0.25">
      <c r="A31">
        <v>1030</v>
      </c>
      <c r="B31" s="1">
        <v>45671</v>
      </c>
      <c r="C31" s="2">
        <v>0.6875</v>
      </c>
      <c r="D31" s="3" t="s">
        <v>32</v>
      </c>
      <c r="E31" s="3" t="s">
        <v>33</v>
      </c>
      <c r="F31" s="3" t="s">
        <v>30</v>
      </c>
      <c r="G31">
        <v>2</v>
      </c>
      <c r="H31">
        <v>260</v>
      </c>
      <c r="I31">
        <v>120</v>
      </c>
      <c r="J31">
        <f t="shared" si="0"/>
        <v>520</v>
      </c>
      <c r="K31">
        <f t="shared" si="1"/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00CA-4D15-400D-8AE7-6D5BA637152F}">
  <dimension ref="A1:F14"/>
  <sheetViews>
    <sheetView workbookViewId="0">
      <selection activeCell="G14" sqref="G14"/>
    </sheetView>
  </sheetViews>
  <sheetFormatPr defaultRowHeight="15" x14ac:dyDescent="0.25"/>
  <cols>
    <col min="1" max="1" width="12" bestFit="1" customWidth="1"/>
    <col min="2" max="2" width="15.42578125" bestFit="1" customWidth="1"/>
    <col min="3" max="4" width="11.140625" bestFit="1" customWidth="1"/>
    <col min="5" max="5" width="11.85546875" bestFit="1" customWidth="1"/>
    <col min="6" max="6" width="11.140625" bestFit="1" customWidth="1"/>
  </cols>
  <sheetData>
    <row r="1" spans="1:6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25">
      <c r="A2" s="3" t="s">
        <v>3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</row>
    <row r="3" spans="1:6" x14ac:dyDescent="0.25">
      <c r="A3" s="3" t="s">
        <v>9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</row>
    <row r="4" spans="1:6" x14ac:dyDescent="0.25">
      <c r="A4" s="3" t="s">
        <v>12</v>
      </c>
      <c r="B4" s="3" t="s">
        <v>52</v>
      </c>
      <c r="C4" s="3" t="s">
        <v>53</v>
      </c>
      <c r="D4" s="3" t="s">
        <v>49</v>
      </c>
      <c r="E4" s="3" t="s">
        <v>54</v>
      </c>
      <c r="F4" s="3" t="s">
        <v>55</v>
      </c>
    </row>
    <row r="5" spans="1:6" x14ac:dyDescent="0.25">
      <c r="A5" s="3" t="s">
        <v>14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</row>
    <row r="6" spans="1:6" x14ac:dyDescent="0.25">
      <c r="A6" s="3" t="s">
        <v>18</v>
      </c>
      <c r="B6" s="3" t="s">
        <v>61</v>
      </c>
      <c r="C6" s="3" t="s">
        <v>62</v>
      </c>
      <c r="D6" s="3" t="s">
        <v>49</v>
      </c>
      <c r="E6" s="3" t="s">
        <v>63</v>
      </c>
      <c r="F6" s="3" t="s">
        <v>51</v>
      </c>
    </row>
    <row r="7" spans="1:6" x14ac:dyDescent="0.25">
      <c r="A7" s="3" t="s">
        <v>21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55</v>
      </c>
    </row>
    <row r="8" spans="1:6" x14ac:dyDescent="0.25">
      <c r="A8" s="3" t="s">
        <v>23</v>
      </c>
      <c r="B8" s="3" t="s">
        <v>68</v>
      </c>
      <c r="C8" s="3" t="s">
        <v>69</v>
      </c>
      <c r="D8" s="3" t="s">
        <v>49</v>
      </c>
      <c r="E8" s="3" t="s">
        <v>70</v>
      </c>
      <c r="F8" s="3" t="s">
        <v>55</v>
      </c>
    </row>
    <row r="9" spans="1:6" x14ac:dyDescent="0.25">
      <c r="A9" s="3" t="s">
        <v>25</v>
      </c>
      <c r="B9" s="3" t="s">
        <v>71</v>
      </c>
      <c r="C9" s="3" t="s">
        <v>72</v>
      </c>
      <c r="D9" s="3" t="s">
        <v>58</v>
      </c>
      <c r="E9" s="3" t="s">
        <v>73</v>
      </c>
      <c r="F9" s="3" t="s">
        <v>60</v>
      </c>
    </row>
    <row r="10" spans="1:6" x14ac:dyDescent="0.25">
      <c r="A10" s="3" t="s">
        <v>28</v>
      </c>
      <c r="B10" s="3" t="s">
        <v>74</v>
      </c>
      <c r="C10" s="3" t="s">
        <v>75</v>
      </c>
      <c r="D10" s="3" t="s">
        <v>49</v>
      </c>
      <c r="E10" s="3" t="s">
        <v>76</v>
      </c>
      <c r="F10" s="3" t="s">
        <v>51</v>
      </c>
    </row>
    <row r="11" spans="1:6" x14ac:dyDescent="0.25">
      <c r="A11" s="3" t="s">
        <v>31</v>
      </c>
      <c r="B11" s="3" t="s">
        <v>77</v>
      </c>
      <c r="C11" s="3" t="s">
        <v>78</v>
      </c>
      <c r="D11" s="3" t="s">
        <v>66</v>
      </c>
      <c r="E11" s="3" t="s">
        <v>79</v>
      </c>
      <c r="F11" s="3" t="s">
        <v>60</v>
      </c>
    </row>
    <row r="12" spans="1:6" x14ac:dyDescent="0.25">
      <c r="A12" s="3" t="s">
        <v>32</v>
      </c>
      <c r="B12" s="3" t="s">
        <v>80</v>
      </c>
      <c r="C12" s="3" t="s">
        <v>81</v>
      </c>
      <c r="D12" s="3" t="s">
        <v>49</v>
      </c>
      <c r="E12" s="3" t="s">
        <v>82</v>
      </c>
      <c r="F12" s="3" t="s">
        <v>55</v>
      </c>
    </row>
    <row r="13" spans="1:6" x14ac:dyDescent="0.25">
      <c r="A13" s="3" t="s">
        <v>34</v>
      </c>
      <c r="B13" s="3" t="s">
        <v>83</v>
      </c>
      <c r="C13" s="3" t="s">
        <v>84</v>
      </c>
      <c r="D13" s="3" t="s">
        <v>49</v>
      </c>
      <c r="E13" s="3" t="s">
        <v>85</v>
      </c>
      <c r="F13" s="3" t="s">
        <v>60</v>
      </c>
    </row>
    <row r="14" spans="1:6" x14ac:dyDescent="0.25">
      <c r="A14" s="3" t="s">
        <v>35</v>
      </c>
      <c r="B14" s="3" t="s">
        <v>86</v>
      </c>
      <c r="C14" s="3" t="s">
        <v>87</v>
      </c>
      <c r="D14" s="3" t="s">
        <v>58</v>
      </c>
      <c r="E14" s="3" t="s">
        <v>88</v>
      </c>
      <c r="F14" s="3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8C23D7-25F7-4F27-82F4-D814CC8D25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sales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 LAB</dc:creator>
  <cp:lastModifiedBy>MCA LAB</cp:lastModifiedBy>
  <dcterms:created xsi:type="dcterms:W3CDTF">2026-10-24T08:14:26Z</dcterms:created>
  <dcterms:modified xsi:type="dcterms:W3CDTF">2026-10-24T08:46:48Z</dcterms:modified>
</cp:coreProperties>
</file>